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TYPE SHI\"/>
    </mc:Choice>
  </mc:AlternateContent>
  <xr:revisionPtr revIDLastSave="0" documentId="13_ncr:1_{C22B0058-B406-441D-B086-4F26556C342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 Entry" sheetId="1" r:id="rId1"/>
    <sheet name="Calculations" sheetId="2" r:id="rId2"/>
    <sheet name="Diagnostic Report" sheetId="3" r:id="rId3"/>
    <sheet name="Trend Track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C4" i="3"/>
  <c r="B8" i="2"/>
  <c r="C8" i="3" s="1"/>
  <c r="B7" i="2"/>
  <c r="C7" i="3" s="1"/>
  <c r="B5" i="2"/>
  <c r="B4" i="2"/>
  <c r="B6" i="2" s="1"/>
  <c r="B10" i="2" s="1"/>
  <c r="C9" i="3" s="1"/>
  <c r="B3" i="2"/>
  <c r="B2" i="2"/>
  <c r="B11" i="2" s="1"/>
  <c r="B9" i="2" l="1"/>
  <c r="B12" i="2" s="1"/>
  <c r="B13" i="2" s="1"/>
  <c r="D12" i="3" l="1"/>
  <c r="B12" i="3"/>
</calcChain>
</file>

<file path=xl/sharedStrings.xml><?xml version="1.0" encoding="utf-8"?>
<sst xmlns="http://schemas.openxmlformats.org/spreadsheetml/2006/main" count="53" uniqueCount="49">
  <si>
    <t>Mass Balance Calculator - ICH Q1A(R2) Compliant</t>
  </si>
  <si>
    <t>Initial API Assay (%)</t>
  </si>
  <si>
    <t>Stressed API Assay (%)</t>
  </si>
  <si>
    <t>Initial Degradants (%)</t>
  </si>
  <si>
    <t>Stressed Degradants (%)</t>
  </si>
  <si>
    <t>Parent MW (g/mol)</t>
  </si>
  <si>
    <t>Degradant MW (g/mol)</t>
  </si>
  <si>
    <t>RRF (Relative Response Factor)</t>
  </si>
  <si>
    <t>Stress Condition</t>
  </si>
  <si>
    <t>Base</t>
  </si>
  <si>
    <t>Sample ID</t>
  </si>
  <si>
    <t>VAL-2026-001</t>
  </si>
  <si>
    <t>Analyst Name</t>
  </si>
  <si>
    <t>A. Singla</t>
  </si>
  <si>
    <t>INSTRUCTIONS:
1. Enter experimental data in YELLOW cells.
2. Default values provided for testing.
3. Navigate to 'Diagnostic Report' tab to see analysis.
4. Use 'Trend Tracking' for stability studies.</t>
  </si>
  <si>
    <t>'Diagnostic Report'!A1</t>
  </si>
  <si>
    <t>PARAMETER</t>
  </si>
  <si>
    <t>VALUE</t>
  </si>
  <si>
    <t>Delta API</t>
  </si>
  <si>
    <t>Delta Deg</t>
  </si>
  <si>
    <t>Lambda (RRF Corr)</t>
  </si>
  <si>
    <t>Omega (MW Corr)</t>
  </si>
  <si>
    <t>Corrected Deg</t>
  </si>
  <si>
    <t>SMB Result</t>
  </si>
  <si>
    <t>AMB Result</t>
  </si>
  <si>
    <t>RMB Result</t>
  </si>
  <si>
    <t>LK-IMB Result</t>
  </si>
  <si>
    <t>Rec. Method</t>
  </si>
  <si>
    <t>Rec. Value</t>
  </si>
  <si>
    <t>Status</t>
  </si>
  <si>
    <t>MASS BALANCE DIAGNOSTIC REPORT</t>
  </si>
  <si>
    <t>Date:</t>
  </si>
  <si>
    <t>Sample ID:</t>
  </si>
  <si>
    <t>Method</t>
  </si>
  <si>
    <t>Result (%)</t>
  </si>
  <si>
    <t>Correction</t>
  </si>
  <si>
    <t>SMB (Uncorrected)</t>
  </si>
  <si>
    <t>None</t>
  </si>
  <si>
    <t>AMB (Absolute)</t>
  </si>
  <si>
    <t>Purity Norm.</t>
  </si>
  <si>
    <t>LK-IMB (Proposed)</t>
  </si>
  <si>
    <t>Stoich + RRF</t>
  </si>
  <si>
    <t>FINAL STATUS</t>
  </si>
  <si>
    <t>DIAGNOSTIC</t>
  </si>
  <si>
    <t>Day</t>
  </si>
  <si>
    <t>SMB</t>
  </si>
  <si>
    <t>AMB</t>
  </si>
  <si>
    <t>LK-IMB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</si>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</sst>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/>
    <xf numFmtId="165" fontId="2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1" applyAlignment="1" applyProtection="1"/>
    <xf numFmtId="0" fontId="4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Balance Stability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SMB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'Trend Tracking'!$A$2:$A$5</c:f>
              <c:numCache>
                <c:formatCode>0.00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30</c:v>
                </c:pt>
              </c:numCache>
            </c:numRef>
          </c:cat>
          <c:val>
            <c:numRef>
              <c:f>'Trend Tracking'!$B$2:$B$5</c:f>
              <c:numCache>
                <c:formatCode>0.0</c:formatCode>
                <c:ptCount val="4"/>
                <c:pt idx="0">
                  <c:v>99.5</c:v>
                </c:pt>
                <c:pt idx="1">
                  <c:v>95</c:v>
                </c:pt>
                <c:pt idx="2">
                  <c:v>88</c:v>
                </c:pt>
                <c:pt idx="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0-4861-BA6C-2077876ADE81}"/>
            </c:ext>
          </c:extLst>
        </c:ser>
        <c:ser>
          <c:idx val="1"/>
          <c:order val="1"/>
          <c:tx>
            <c:v>LK-IMB</c:v>
          </c:tx>
          <c:spPr>
            <a:ln w="28575">
              <a:solidFill>
                <a:srgbClr val="008000"/>
              </a:solidFill>
            </a:ln>
          </c:spPr>
          <c:marker>
            <c:symbol val="circle"/>
            <c:size val="5"/>
          </c:marker>
          <c:cat>
            <c:numRef>
              <c:f>'Trend Tracking'!$A$2:$A$5</c:f>
              <c:numCache>
                <c:formatCode>0.00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30</c:v>
                </c:pt>
              </c:numCache>
            </c:numRef>
          </c:cat>
          <c:val>
            <c:numRef>
              <c:f>'Trend Tracking'!$D$2:$D$5</c:f>
              <c:numCache>
                <c:formatCode>0.0</c:formatCode>
                <c:ptCount val="4"/>
                <c:pt idx="0">
                  <c:v>100</c:v>
                </c:pt>
                <c:pt idx="1">
                  <c:v>98.5</c:v>
                </c:pt>
                <c:pt idx="2">
                  <c:v>97.4</c:v>
                </c:pt>
                <c:pt idx="3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0-4861-BA6C-2077876A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05"/>
          <c:min val="8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Mass Balance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228600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9" sqref="F19"/>
    </sheetView>
  </sheetViews>
  <sheetFormatPr defaultRowHeight="14.4" x14ac:dyDescent="0.3"/>
  <cols>
    <col min="1" max="1" width="30.6640625" customWidth="1"/>
    <col min="2" max="2" width="20.6640625" customWidth="1"/>
    <col min="3" max="3" width="5.6640625" customWidth="1"/>
    <col min="4" max="4" width="40.6640625" customWidth="1"/>
  </cols>
  <sheetData>
    <row r="1" spans="1:4" ht="15.6" x14ac:dyDescent="0.3">
      <c r="A1" s="15" t="s">
        <v>0</v>
      </c>
      <c r="B1" s="15"/>
    </row>
    <row r="3" spans="1:4" x14ac:dyDescent="0.3">
      <c r="A3" s="2" t="s">
        <v>1</v>
      </c>
      <c r="B3" s="3">
        <v>98</v>
      </c>
      <c r="D3" s="16" t="s">
        <v>14</v>
      </c>
    </row>
    <row r="4" spans="1:4" x14ac:dyDescent="0.3">
      <c r="A4" s="2" t="s">
        <v>2</v>
      </c>
      <c r="B4" s="3">
        <v>82.5</v>
      </c>
      <c r="D4" s="16"/>
    </row>
    <row r="5" spans="1:4" x14ac:dyDescent="0.3">
      <c r="A5" s="2" t="s">
        <v>3</v>
      </c>
      <c r="B5" s="3">
        <v>0.5</v>
      </c>
      <c r="D5" s="16"/>
    </row>
    <row r="6" spans="1:4" x14ac:dyDescent="0.3">
      <c r="A6" s="2" t="s">
        <v>4</v>
      </c>
      <c r="B6" s="3">
        <v>4.9000000000000004</v>
      </c>
      <c r="D6" s="16"/>
    </row>
    <row r="7" spans="1:4" x14ac:dyDescent="0.3">
      <c r="A7" s="2" t="s">
        <v>5</v>
      </c>
      <c r="B7" s="3">
        <v>500</v>
      </c>
      <c r="D7" s="16"/>
    </row>
    <row r="8" spans="1:4" x14ac:dyDescent="0.3">
      <c r="A8" s="2" t="s">
        <v>6</v>
      </c>
      <c r="B8" s="3">
        <v>250</v>
      </c>
      <c r="D8" s="16"/>
    </row>
    <row r="9" spans="1:4" x14ac:dyDescent="0.3">
      <c r="A9" s="2" t="s">
        <v>7</v>
      </c>
      <c r="B9" s="3">
        <v>0.8</v>
      </c>
      <c r="D9" s="16"/>
    </row>
    <row r="10" spans="1:4" x14ac:dyDescent="0.3">
      <c r="A10" s="2" t="s">
        <v>8</v>
      </c>
      <c r="B10" s="4" t="s">
        <v>9</v>
      </c>
      <c r="D10" s="16"/>
    </row>
    <row r="11" spans="1:4" x14ac:dyDescent="0.3">
      <c r="A11" s="2" t="s">
        <v>10</v>
      </c>
      <c r="B11" s="4" t="s">
        <v>11</v>
      </c>
    </row>
    <row r="12" spans="1:4" x14ac:dyDescent="0.3">
      <c r="A12" s="2" t="s">
        <v>12</v>
      </c>
      <c r="B12" s="4" t="s">
        <v>13</v>
      </c>
    </row>
    <row r="14" spans="1:4" x14ac:dyDescent="0.3">
      <c r="A14" s="17" t="s">
        <v>15</v>
      </c>
      <c r="B14" s="18"/>
    </row>
    <row r="15" spans="1:4" x14ac:dyDescent="0.3">
      <c r="A15" s="18"/>
      <c r="B15" s="18"/>
    </row>
  </sheetData>
  <mergeCells count="3">
    <mergeCell ref="A1:B1"/>
    <mergeCell ref="D3:D10"/>
    <mergeCell ref="A14:B15"/>
  </mergeCells>
  <dataValidations count="1">
    <dataValidation type="list" allowBlank="1" showInputMessage="1" showErrorMessage="1" sqref="B10" xr:uid="{00000000-0002-0000-0000-000000000000}">
      <formula1>"Acid,Base,Oxidative,Thermal,Photolytic"</formula1>
    </dataValidation>
  </dataValidations>
  <hyperlinks>
    <hyperlink ref="A14" location="'Diagnostic Report'!A1" display="'Diagnostic Report'!A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2" width="25.6640625" customWidth="1"/>
  </cols>
  <sheetData>
    <row r="1" spans="1:2" ht="15.6" x14ac:dyDescent="0.3">
      <c r="A1" s="1" t="s">
        <v>16</v>
      </c>
      <c r="B1" s="1" t="s">
        <v>17</v>
      </c>
    </row>
    <row r="2" spans="1:2" x14ac:dyDescent="0.3">
      <c r="A2" s="2" t="s">
        <v>18</v>
      </c>
      <c r="B2">
        <f>'Data Entry'!B3-'Data Entry'!B4</f>
        <v>15.5</v>
      </c>
    </row>
    <row r="3" spans="1:2" x14ac:dyDescent="0.3">
      <c r="A3" s="2" t="s">
        <v>19</v>
      </c>
      <c r="B3">
        <f>'Data Entry'!B6-'Data Entry'!B5</f>
        <v>4.4000000000000004</v>
      </c>
    </row>
    <row r="4" spans="1:2" x14ac:dyDescent="0.3">
      <c r="A4" s="2" t="s">
        <v>20</v>
      </c>
      <c r="B4">
        <f>IF('Data Entry'!B9="", 1, 1/'Data Entry'!B9)</f>
        <v>1.25</v>
      </c>
    </row>
    <row r="5" spans="1:2" x14ac:dyDescent="0.3">
      <c r="A5" s="2" t="s">
        <v>21</v>
      </c>
      <c r="B5">
        <f>IF(OR('Data Entry'!B7="", 'Data Entry'!B8=""), 1, 'Data Entry'!B7/'Data Entry'!B8)</f>
        <v>2</v>
      </c>
    </row>
    <row r="6" spans="1:2" x14ac:dyDescent="0.3">
      <c r="A6" s="2" t="s">
        <v>22</v>
      </c>
      <c r="B6">
        <f>'Data Entry'!B6 * B4 * B5</f>
        <v>12.25</v>
      </c>
    </row>
    <row r="7" spans="1:2" x14ac:dyDescent="0.3">
      <c r="A7" s="2" t="s">
        <v>23</v>
      </c>
      <c r="B7">
        <f>'Data Entry'!B4 + 'Data Entry'!B6</f>
        <v>87.4</v>
      </c>
    </row>
    <row r="8" spans="1:2" x14ac:dyDescent="0.3">
      <c r="A8" s="2" t="s">
        <v>24</v>
      </c>
      <c r="B8">
        <f>('Data Entry'!B4 + 'Data Entry'!B6)/('Data Entry'!B3 + 'Data Entry'!B5)*100</f>
        <v>88.73096446700508</v>
      </c>
    </row>
    <row r="9" spans="1:2" x14ac:dyDescent="0.3">
      <c r="A9" s="2" t="s">
        <v>25</v>
      </c>
      <c r="B9">
        <f>IF(B2=0, 0, (B3/B2)*100)</f>
        <v>28.387096774193548</v>
      </c>
    </row>
    <row r="10" spans="1:2" x14ac:dyDescent="0.3">
      <c r="A10" s="2" t="s">
        <v>26</v>
      </c>
      <c r="B10">
        <f>('Data Entry'!B4 + B6)/'Data Entry'!B3*100</f>
        <v>96.683673469387756</v>
      </c>
    </row>
    <row r="11" spans="1:2" x14ac:dyDescent="0.3">
      <c r="A11" s="2" t="s">
        <v>27</v>
      </c>
      <c r="B11" t="str">
        <f>IF(B2&lt;2, "AMB", IF(B2&gt;20, "LK-IMB", "RMB"))</f>
        <v>RMB</v>
      </c>
    </row>
    <row r="12" spans="1:2" x14ac:dyDescent="0.3">
      <c r="A12" s="2" t="s">
        <v>28</v>
      </c>
      <c r="B12">
        <f>IF(B11="AMB", B8, IF(B11="LK-IMB", B10, B9))</f>
        <v>28.387096774193548</v>
      </c>
    </row>
    <row r="13" spans="1:2" x14ac:dyDescent="0.3">
      <c r="A13" s="2" t="s">
        <v>29</v>
      </c>
      <c r="B13" t="str">
        <f>IF(B12&gt;=95, "PASS", IF(B12&gt;=90, "ALERT", "OOS"))</f>
        <v>OOS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3"/>
  <sheetViews>
    <sheetView showGridLines="0" workbookViewId="0"/>
  </sheetViews>
  <sheetFormatPr defaultRowHeight="14.4" x14ac:dyDescent="0.3"/>
  <cols>
    <col min="1" max="1" width="5.6640625" customWidth="1"/>
    <col min="2" max="5" width="18.6640625" customWidth="1"/>
  </cols>
  <sheetData>
    <row r="2" spans="2:5" x14ac:dyDescent="0.3">
      <c r="B2" s="15" t="s">
        <v>30</v>
      </c>
      <c r="C2" s="15"/>
      <c r="D2" s="15"/>
      <c r="E2" s="15"/>
    </row>
    <row r="3" spans="2:5" x14ac:dyDescent="0.3">
      <c r="B3" s="15"/>
      <c r="C3" s="15"/>
      <c r="D3" s="15"/>
      <c r="E3" s="15"/>
    </row>
    <row r="4" spans="2:5" x14ac:dyDescent="0.3">
      <c r="B4" s="2" t="s">
        <v>31</v>
      </c>
      <c r="C4" s="5">
        <f ca="1">TODAY()</f>
        <v>46051</v>
      </c>
      <c r="D4" s="2" t="s">
        <v>32</v>
      </c>
      <c r="E4" s="6" t="str">
        <f>'Data Entry'!B11</f>
        <v>VAL-2026-001</v>
      </c>
    </row>
    <row r="6" spans="2:5" ht="15.6" x14ac:dyDescent="0.3">
      <c r="B6" s="1" t="s">
        <v>33</v>
      </c>
      <c r="C6" s="1" t="s">
        <v>34</v>
      </c>
      <c r="D6" s="1" t="s">
        <v>35</v>
      </c>
    </row>
    <row r="7" spans="2:5" x14ac:dyDescent="0.3">
      <c r="B7" s="7" t="s">
        <v>36</v>
      </c>
      <c r="C7" s="8">
        <f>Calculations!B7</f>
        <v>87.4</v>
      </c>
      <c r="D7" s="9" t="s">
        <v>37</v>
      </c>
    </row>
    <row r="8" spans="2:5" x14ac:dyDescent="0.3">
      <c r="B8" s="7" t="s">
        <v>38</v>
      </c>
      <c r="C8" s="8">
        <f>Calculations!B8</f>
        <v>88.73096446700508</v>
      </c>
      <c r="D8" s="10" t="s">
        <v>39</v>
      </c>
    </row>
    <row r="9" spans="2:5" x14ac:dyDescent="0.3">
      <c r="B9" s="11" t="s">
        <v>40</v>
      </c>
      <c r="C9" s="12">
        <f>Calculations!B10</f>
        <v>96.683673469387756</v>
      </c>
      <c r="D9" s="13" t="s">
        <v>41</v>
      </c>
    </row>
    <row r="11" spans="2:5" ht="15.6" x14ac:dyDescent="0.3">
      <c r="B11" s="15" t="s">
        <v>42</v>
      </c>
      <c r="C11" s="15"/>
      <c r="D11" s="15" t="s">
        <v>43</v>
      </c>
      <c r="E11" s="15"/>
    </row>
    <row r="12" spans="2:5" x14ac:dyDescent="0.3">
      <c r="B12" s="19" t="str">
        <f>Calculations!B13</f>
        <v>OOS</v>
      </c>
      <c r="C12" s="19"/>
      <c r="D12" s="20" t="str">
        <f>IF(AND(Calculations!B13="OOS", Calculations!B4=1), "FAIL: Suspected Volatile Loss. Rec: Headspace GC.", IF(AND(Calculations!B13="OOS", Calculations!B4&gt;1.2), "FAIL: UV-Silent Impurity. Rec: CAD Detection.", IF(Calculations!B13="PASS", "Mass Balance Compliant per ICH Q1A.", "Investigate: Borderline Result.")))</f>
        <v>FAIL: UV-Silent Impurity. Rec: CAD Detection.</v>
      </c>
      <c r="E12" s="16"/>
    </row>
    <row r="13" spans="2:5" x14ac:dyDescent="0.3">
      <c r="B13" s="19"/>
      <c r="C13" s="19"/>
      <c r="D13" s="16"/>
      <c r="E13" s="16"/>
    </row>
  </sheetData>
  <mergeCells count="5">
    <mergeCell ref="B2:E3"/>
    <mergeCell ref="B11:C11"/>
    <mergeCell ref="B12:C13"/>
    <mergeCell ref="D11:E11"/>
    <mergeCell ref="D12:E13"/>
  </mergeCells>
  <conditionalFormatting sqref="B12">
    <cfRule type="cellIs" dxfId="2" priority="1" operator="equal">
      <formula>"PASS"</formula>
    </cfRule>
    <cfRule type="cellIs" dxfId="1" priority="2" operator="equal">
      <formula>"ALERT"</formula>
    </cfRule>
    <cfRule type="cellIs" dxfId="0" priority="3" operator="equal">
      <formula>"OOS"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cols>
    <col min="1" max="5" width="12.6640625" customWidth="1"/>
  </cols>
  <sheetData>
    <row r="1" spans="1:5" ht="15.6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29</v>
      </c>
    </row>
    <row r="2" spans="1:5" x14ac:dyDescent="0.3">
      <c r="A2" s="3">
        <v>0</v>
      </c>
      <c r="B2" s="14">
        <v>99.5</v>
      </c>
      <c r="C2" s="14">
        <v>100</v>
      </c>
      <c r="D2" s="14">
        <v>100</v>
      </c>
      <c r="E2" s="14" t="s">
        <v>48</v>
      </c>
    </row>
    <row r="3" spans="1:5" x14ac:dyDescent="0.3">
      <c r="A3" s="3">
        <v>7</v>
      </c>
      <c r="B3" s="14">
        <v>95</v>
      </c>
      <c r="C3" s="14">
        <v>96.2</v>
      </c>
      <c r="D3" s="14">
        <v>98.5</v>
      </c>
      <c r="E3" s="14" t="s">
        <v>48</v>
      </c>
    </row>
    <row r="4" spans="1:5" x14ac:dyDescent="0.3">
      <c r="A4" s="3">
        <v>14</v>
      </c>
      <c r="B4" s="14">
        <v>88</v>
      </c>
      <c r="C4" s="14">
        <v>90.1</v>
      </c>
      <c r="D4" s="14">
        <v>97.4</v>
      </c>
      <c r="E4" s="14" t="s">
        <v>48</v>
      </c>
    </row>
    <row r="5" spans="1:5" x14ac:dyDescent="0.3">
      <c r="A5" s="3">
        <v>30</v>
      </c>
      <c r="B5" s="14">
        <v>82</v>
      </c>
      <c r="C5" s="14">
        <v>85.5</v>
      </c>
      <c r="D5" s="14">
        <v>96.2</v>
      </c>
      <c r="E5" s="14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Calculations</vt:lpstr>
      <vt:lpstr>Diagnostic Report</vt:lpstr>
      <vt:lpstr>Trend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Anshuman Kumar</cp:lastModifiedBy>
  <dcterms:created xsi:type="dcterms:W3CDTF">2026-01-28T19:14:16Z</dcterms:created>
  <dcterms:modified xsi:type="dcterms:W3CDTF">2026-01-28T19:31:41Z</dcterms:modified>
</cp:coreProperties>
</file>