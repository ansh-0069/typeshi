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iagnostic Report" sheetId="3" state="visible" r:id="rId3"/>
    <sheet xmlns:r="http://schemas.openxmlformats.org/officeDocument/2006/relationships" name="Trend Tracking" sheetId="4" state="visible" r:id="rId4"/>
    <sheet xmlns:r="http://schemas.openxmlformats.org/officeDocument/2006/relationships" name="Instructions" sheetId="5" state="visible" r:id="rId5"/>
  </sheets>
  <definedNames>
    <definedName name="InitialAPI">'Data Entry'!$B$4</definedName>
    <definedName name="StressedAPI">'Data Entry'!$B$5</definedName>
    <definedName name="InitialDeg">'Data Entry'!$B$6</definedName>
    <definedName name="StressedDeg">'Data Entry'!$B$7</definedName>
    <definedName name="DegradantMW">'Data Entry'!$B$8</definedName>
    <definedName name="ParentMW">'Data Entry'!$B$9</definedName>
    <definedName name="RRF">'Data Entry'!$B$10</definedName>
    <definedName name="DeltaAPI">'Calculations'!$B$4</definedName>
    <definedName name="DeltaDeg">'Calculations'!$B$5</definedName>
    <definedName name="DegradationLevel">'Calculations'!$B$6</definedName>
    <definedName name="Lambda">'Calculations'!$B$9</definedName>
    <definedName name="Omega">'Calculations'!$B$10</definedName>
    <definedName name="CorrectedDeg">'Calculations'!$B$11</definedName>
    <definedName name="SMB">'Calculations'!$B$14</definedName>
    <definedName name="AMB">'Calculations'!$B$15</definedName>
    <definedName name="RMB">'Calculations'!$B$16</definedName>
    <definedName name="LKIMB">'Calculations'!$B$17</definedName>
    <definedName name="RecommendedMethod">'Calculations'!$B$20</definedName>
    <definedName name="RecommendedValue">'Calculations'!$B$21</definedName>
    <definedName name="Status">'Calculations'!$B$22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sz val="11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FF8C00"/>
      </left>
      <right style="thin">
        <color rgb="00FF8C00"/>
      </right>
      <top style="thin">
        <color rgb="00FF8C00"/>
      </top>
      <bottom style="thin">
        <color rgb="00FF8C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6" fillId="0" borderId="0" applyAlignment="1" pivotButton="0" quotePrefix="0" xfId="0">
      <alignment horizontal="right"/>
    </xf>
    <xf numFmtId="2" fontId="6" fillId="4" borderId="0" pivotButton="0" quotePrefix="0" xfId="0"/>
    <xf numFmtId="0" fontId="6" fillId="0" borderId="0" pivotButton="0" quotePrefix="0" xfId="0"/>
    <xf numFmtId="0" fontId="6" fillId="5" borderId="0" pivotButton="0" quotePrefix="0" xfId="0"/>
    <xf numFmtId="2" fontId="6" fillId="5" borderId="0" pivotButton="0" quotePrefix="0" xfId="0"/>
    <xf numFmtId="164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horizontal="center"/>
    </xf>
    <xf numFmtId="0" fontId="3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Mass Balance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'Trend Tracking'!D3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Tracking'!$B$4:$B$20</f>
            </numRef>
          </cat>
          <val>
            <numRef>
              <f>'Trend Tracking'!$D$4:$D$20</f>
            </numRef>
          </val>
        </ser>
        <ser>
          <idx val="1"/>
          <order val="1"/>
          <tx>
            <strRef>
              <f>'Trend Tracking'!E3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Tracking'!$B$4:$B$20</f>
            </numRef>
          </cat>
          <val>
            <numRef>
              <f>'Trend Tracking'!$E$4:$E$20</f>
            </numRef>
          </val>
        </ser>
        <ser>
          <idx val="2"/>
          <order val="2"/>
          <tx>
            <strRef>
              <f>'Trend Tracking'!F3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Tracking'!$B$4:$B$20</f>
            </numRef>
          </cat>
          <val>
            <numRef>
              <f>'Trend Tracking'!$F$4:$F$20</f>
            </numRef>
          </val>
        </ser>
        <ser>
          <idx val="3"/>
          <order val="3"/>
          <tx>
            <strRef>
              <f>'Trend Tracking'!G3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Tracking'!$B$4:$B$20</f>
            </numRef>
          </cat>
          <val>
            <numRef>
              <f>'Trend Tracking'!$G$4:$G$20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 Balance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MASS BALANCE CALCULATOR - DATA ENTRY</t>
        </is>
      </c>
    </row>
    <row r="2">
      <c r="A2" s="2" t="inlineStr">
        <is>
          <t>Enter your forced degradation study data below. Results calculate automatically.</t>
        </is>
      </c>
    </row>
    <row r="4">
      <c r="A4" s="3" t="inlineStr">
        <is>
          <t>Initial API %</t>
        </is>
      </c>
      <c r="B4" s="4" t="n">
        <v>98</v>
      </c>
    </row>
    <row r="5">
      <c r="A5" s="3" t="inlineStr">
        <is>
          <t>Stressed API %</t>
        </is>
      </c>
      <c r="B5" s="4" t="n">
        <v>82.5</v>
      </c>
    </row>
    <row r="6">
      <c r="A6" s="3" t="inlineStr">
        <is>
          <t>Initial Degradants %</t>
        </is>
      </c>
      <c r="B6" s="4" t="n">
        <v>0.5</v>
      </c>
    </row>
    <row r="7">
      <c r="A7" s="3" t="inlineStr">
        <is>
          <t>Stressed Degradants %</t>
        </is>
      </c>
      <c r="B7" s="4" t="n">
        <v>4.9</v>
      </c>
    </row>
    <row r="8">
      <c r="A8" s="3" t="inlineStr">
        <is>
          <t>Degradant MW (optional)</t>
        </is>
      </c>
      <c r="B8" s="4" t="n">
        <v>250</v>
      </c>
    </row>
    <row r="9">
      <c r="A9" s="3" t="inlineStr">
        <is>
          <t>Parent MW (optional)</t>
        </is>
      </c>
      <c r="B9" s="4" t="n">
        <v>500</v>
      </c>
    </row>
    <row r="10">
      <c r="A10" s="3" t="inlineStr">
        <is>
          <t>RRF (optional)</t>
        </is>
      </c>
      <c r="B10" s="4" t="n">
        <v>0.8</v>
      </c>
    </row>
    <row r="11">
      <c r="A11" s="3" t="inlineStr">
        <is>
          <t>Stress Type</t>
        </is>
      </c>
      <c r="B11" s="4" t="inlineStr">
        <is>
          <t>Base</t>
        </is>
      </c>
    </row>
    <row r="12">
      <c r="A12" s="3" t="inlineStr">
        <is>
          <t>Sample ID (optional)</t>
        </is>
      </c>
      <c r="B12" s="4" t="inlineStr">
        <is>
          <t>ABC-001</t>
        </is>
      </c>
    </row>
    <row r="13">
      <c r="A13" s="3" t="inlineStr">
        <is>
          <t>Analyst Name (optional)</t>
        </is>
      </c>
      <c r="B13" s="4" t="inlineStr">
        <is>
          <t>Lab Analyst</t>
        </is>
      </c>
    </row>
  </sheetData>
  <mergeCells count="2">
    <mergeCell ref="A2:B2"/>
    <mergeCell ref="A1:B1"/>
  </mergeCells>
  <dataValidations count="1">
    <dataValidation sqref="B11" showDropDown="0" showInputMessage="0" showErrorMessage="0" allowBlank="0" type="list">
      <formula1>"Acid,Base,Oxidative,Photolytic,Thermal"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CALCULATION RESULTS</t>
        </is>
      </c>
    </row>
    <row r="3">
      <c r="A3" s="6" t="inlineStr">
        <is>
          <t>Intermediate Calculations:</t>
        </is>
      </c>
    </row>
    <row r="4">
      <c r="A4" s="7" t="inlineStr">
        <is>
          <t>Delta API (%)</t>
        </is>
      </c>
      <c r="B4" s="8">
        <f>InitialAPI-StressedAPI</f>
        <v/>
      </c>
    </row>
    <row r="5">
      <c r="A5" s="7" t="inlineStr">
        <is>
          <t>Delta Degradants (%)</t>
        </is>
      </c>
      <c r="B5" s="8">
        <f>StressedDeg-InitialDeg</f>
        <v/>
      </c>
    </row>
    <row r="6">
      <c r="A6" s="7" t="inlineStr">
        <is>
          <t>Degradation Level (%)</t>
        </is>
      </c>
      <c r="B6" s="8">
        <f>(InitialAPI-StressedAPI)/InitialAPI*100</f>
        <v/>
      </c>
    </row>
    <row r="8">
      <c r="A8" s="6" t="inlineStr">
        <is>
          <t>Correction Factors:</t>
        </is>
      </c>
    </row>
    <row r="9">
      <c r="A9" s="7" t="inlineStr">
        <is>
          <t>Lambda (RRF Correction)</t>
        </is>
      </c>
      <c r="B9" s="8">
        <f>IF(RRF="",1,1/RRF)</f>
        <v/>
      </c>
    </row>
    <row r="10">
      <c r="A10" s="7" t="inlineStr">
        <is>
          <t>Omega (MW Correction)</t>
        </is>
      </c>
      <c r="B10" s="8">
        <f>IF(OR(DegradantMW="",ParentMW=""),1,ParentMW/DegradantMW)</f>
        <v/>
      </c>
    </row>
    <row r="11">
      <c r="A11" s="7" t="inlineStr">
        <is>
          <t>Corrected Degradants</t>
        </is>
      </c>
      <c r="B11" s="8">
        <f>StressedDeg*Lambda*Omega</f>
        <v/>
      </c>
    </row>
    <row r="13">
      <c r="A13" s="6" t="inlineStr">
        <is>
          <t>Mass Balance Results:</t>
        </is>
      </c>
    </row>
    <row r="14">
      <c r="A14" s="9" t="inlineStr">
        <is>
          <t>SMB (Simple Mass Balance)</t>
        </is>
      </c>
      <c r="B14" s="10">
        <f>StressedAPI+StressedDeg</f>
        <v/>
      </c>
    </row>
    <row r="15">
      <c r="A15" s="9" t="inlineStr">
        <is>
          <t>AMB (Absolute Mass Balance)</t>
        </is>
      </c>
      <c r="B15" s="10">
        <f>(StressedAPI+StressedDeg)/(InitialAPI+InitialDeg)*100</f>
        <v/>
      </c>
    </row>
    <row r="16">
      <c r="A16" s="9" t="inlineStr">
        <is>
          <t>RMB (Relative Mass Balance)</t>
        </is>
      </c>
      <c r="B16" s="10">
        <f>IF(DeltaAPI=0,"N/A",(StressedDeg-InitialDeg)/(InitialAPI-StressedAPI)*100)</f>
        <v/>
      </c>
    </row>
    <row r="17">
      <c r="A17" s="9" t="inlineStr">
        <is>
          <t>LK-IMB (Corrected Mass Balance)</t>
        </is>
      </c>
      <c r="B17" s="10">
        <f>(StressedAPI+CorrectedDeg)/InitialAPI*100</f>
        <v/>
      </c>
    </row>
    <row r="19">
      <c r="A19" s="11" t="inlineStr">
        <is>
          <t>Recommended Method:</t>
        </is>
      </c>
    </row>
    <row r="20">
      <c r="A20" s="7" t="inlineStr">
        <is>
          <t>Method</t>
        </is>
      </c>
      <c r="B20" s="12">
        <f>IF(DeltaAPI&lt;2,"AMB",IF(AND(DeltaAPI&gt;=5,DeltaAPI&lt;=20),"RMB","LK-IMB"))</f>
        <v/>
      </c>
    </row>
    <row r="21">
      <c r="A21" s="7" t="inlineStr">
        <is>
          <t>Value (%)</t>
        </is>
      </c>
      <c r="B21" s="13">
        <f>IF(RecommendedMethod="AMB",AMB,IF(RecommendedMethod="RMB",RMB,LKIMB))</f>
        <v/>
      </c>
    </row>
    <row r="22">
      <c r="A22" s="7" t="inlineStr">
        <is>
          <t>Status</t>
        </is>
      </c>
      <c r="B22" s="11">
        <f>IF(RecommendedValue&gt;=95,IF(RecommendedValue&lt;=105,"PASS","ALERT"),IF(RecommendedValue&gt;=90,"ALERT","OOS"))</f>
        <v/>
      </c>
    </row>
    <row r="24">
      <c r="A24" s="7" t="inlineStr">
        <is>
          <t>Confidence Index</t>
        </is>
      </c>
      <c r="B24" s="8">
        <f>IFERROR(100*(1-2.5/ABS(100-AMB)),"N/A")</f>
        <v/>
      </c>
    </row>
  </sheetData>
  <mergeCells count="1">
    <mergeCell ref="A1:B1"/>
  </mergeCells>
  <conditionalFormatting sqref="B14">
    <cfRule type="cellIs" priority="1" operator="between" dxfId="0">
      <formula>95</formula>
      <formula>105</formula>
    </cfRule>
    <cfRule type="cellIs" priority="2" operator="between" dxfId="1">
      <formula>90</formula>
      <formula>95</formula>
    </cfRule>
    <cfRule type="cellIs" priority="3" operator="lessThan" dxfId="2">
      <formula>90</formula>
    </cfRule>
  </conditionalFormatting>
  <conditionalFormatting sqref="B15">
    <cfRule type="cellIs" priority="4" operator="between" dxfId="0">
      <formula>95</formula>
      <formula>105</formula>
    </cfRule>
    <cfRule type="cellIs" priority="5" operator="between" dxfId="1">
      <formula>90</formula>
      <formula>95</formula>
    </cfRule>
    <cfRule type="cellIs" priority="6" operator="lessThan" dxfId="2">
      <formula>90</formula>
    </cfRule>
  </conditionalFormatting>
  <conditionalFormatting sqref="B17">
    <cfRule type="cellIs" priority="7" operator="between" dxfId="0">
      <formula>95</formula>
      <formula>105</formula>
    </cfRule>
    <cfRule type="cellIs" priority="8" operator="between" dxfId="1">
      <formula>90</formula>
      <formula>95</formula>
    </cfRule>
    <cfRule type="cellIs" priority="9" operator="lessThan" dxfId="2">
      <formula>90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DIAGNOSTIC REPORT</t>
        </is>
      </c>
    </row>
    <row r="3">
      <c r="A3" s="6" t="inlineStr">
        <is>
          <t>Sample Information:</t>
        </is>
      </c>
    </row>
    <row r="4">
      <c r="A4" t="inlineStr">
        <is>
          <t>Sample ID:</t>
        </is>
      </c>
      <c r="B4">
        <f>'Data Entry'!B12</f>
        <v/>
      </c>
    </row>
    <row r="5">
      <c r="A5" t="inlineStr">
        <is>
          <t>Analyst:</t>
        </is>
      </c>
      <c r="B5">
        <f>'Data Entry'!B13</f>
        <v/>
      </c>
    </row>
    <row r="6">
      <c r="A6" t="inlineStr">
        <is>
          <t>Stress Type:</t>
        </is>
      </c>
      <c r="B6">
        <f>'Data Entry'!B11</f>
        <v/>
      </c>
    </row>
    <row r="7">
      <c r="A7" t="inlineStr">
        <is>
          <t>Analysis Date:</t>
        </is>
      </c>
      <c r="B7" s="14">
        <f>NOW()</f>
        <v/>
      </c>
    </row>
    <row r="9">
      <c r="A9" s="6" t="inlineStr">
        <is>
          <t>Results Summary:</t>
        </is>
      </c>
    </row>
    <row r="10">
      <c r="A10" t="inlineStr">
        <is>
          <t>Mass Balance:</t>
        </is>
      </c>
      <c r="B10" s="11">
        <f>TEXT(RecommendedValue,"0.00")&amp;"%"</f>
        <v/>
      </c>
    </row>
    <row r="11">
      <c r="A11" t="inlineStr">
        <is>
          <t>Method Used:</t>
        </is>
      </c>
      <c r="B11" s="11">
        <f>RecommendedMethod</f>
        <v/>
      </c>
    </row>
    <row r="12">
      <c r="A12" t="inlineStr">
        <is>
          <t>Status:</t>
        </is>
      </c>
      <c r="B12" s="11">
        <f>IF(Status="PASS","✓ PASS",IF(Status="ALERT","⚠ ALERT","✗ OOS"))</f>
        <v/>
      </c>
    </row>
    <row r="14">
      <c r="A14" s="6" t="inlineStr">
        <is>
          <t>Diagnostic Assessment:</t>
        </is>
      </c>
    </row>
    <row r="15" ht="60" customHeight="1">
      <c r="A15" s="15">
        <f>IF(AND(AMB&lt;95,Lambda=1,Omega=1),"⚠ Suspected volatile loss detected. Recommendation: Perform headspace GC-MS analysis to identify and quantify volatile degradation products.",IF(AND(AMB&lt;95,Lambda&gt;1.2),"⚠ UV-silent degradant suspected. Recommendation: Consider using alternative detection methods such as CAD (Charged Aerosol Detection) or CLND (Chemiluminescent Nitrogen Detection).",IF(DeltaAPI&lt;2,"✓ Low degradation level detected. AMB method is appropriate for this sample. Mass balance is within acceptable limits.","✓ Mass balance acceptable. Stoichiometric and response factor corrections have been applied. Continue routine testing per ICH Q1A(R2) guidelines.")))</f>
        <v/>
      </c>
    </row>
    <row r="16"/>
    <row r="17"/>
    <row r="18"/>
    <row r="20">
      <c r="A20" s="6" t="inlineStr">
        <is>
          <t>Correction Factors Applied:</t>
        </is>
      </c>
    </row>
    <row r="21">
      <c r="A21" t="inlineStr">
        <is>
          <t>Lambda (RRF):</t>
        </is>
      </c>
      <c r="B21">
        <f>TEXT(Lambda,"0.00")</f>
        <v/>
      </c>
    </row>
    <row r="22">
      <c r="A22" t="inlineStr">
        <is>
          <t>Omega (MW):</t>
        </is>
      </c>
      <c r="B22">
        <f>TEXT(Omega,"0.00")</f>
        <v/>
      </c>
    </row>
    <row r="24">
      <c r="A24" s="6" t="inlineStr">
        <is>
          <t>Regulatory Compliance:</t>
        </is>
      </c>
    </row>
    <row r="25" ht="45" customHeight="1">
      <c r="A25" s="16" t="inlineStr">
        <is>
          <t>This calculation follows ICH Q1A(R2) guidelines for mass balance assessment in forced degradation studies. Mass balance values between 95-105% are considered acceptable. Values outside this range require investigation per regulatory guidance.</t>
        </is>
      </c>
    </row>
    <row r="26"/>
    <row r="27"/>
  </sheetData>
  <mergeCells count="3">
    <mergeCell ref="A15:B18"/>
    <mergeCell ref="A1:B1"/>
    <mergeCell ref="A25:B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MASS BALANCE TREND TRACKING</t>
        </is>
      </c>
    </row>
    <row r="2">
      <c r="A2" s="2" t="inlineStr">
        <is>
          <t>Enter time-point data below. Chart updates automatically. Flags anomalies if MB increases over time.</t>
        </is>
      </c>
    </row>
    <row r="3">
      <c r="A3" s="17" t="inlineStr">
        <is>
          <t>Date</t>
        </is>
      </c>
      <c r="B3" s="17" t="inlineStr">
        <is>
          <t>Time Point</t>
        </is>
      </c>
      <c r="C3" s="17" t="inlineStr">
        <is>
          <t>Sample ID</t>
        </is>
      </c>
      <c r="D3" s="17" t="inlineStr">
        <is>
          <t>SMB (%)</t>
        </is>
      </c>
      <c r="E3" s="17" t="inlineStr">
        <is>
          <t>AMB (%)</t>
        </is>
      </c>
      <c r="F3" s="17" t="inlineStr">
        <is>
          <t>RMB (%)</t>
        </is>
      </c>
      <c r="G3" s="17" t="inlineStr">
        <is>
          <t>LK-IMB (%)</t>
        </is>
      </c>
      <c r="H3" s="17" t="inlineStr">
        <is>
          <t>Anomaly Flag</t>
        </is>
      </c>
    </row>
    <row r="4">
      <c r="A4" t="inlineStr">
        <is>
          <t>2025-01-27</t>
        </is>
      </c>
      <c r="B4" t="inlineStr">
        <is>
          <t>Day 0</t>
        </is>
      </c>
      <c r="C4" t="inlineStr">
        <is>
          <t>ABC-001</t>
        </is>
      </c>
      <c r="D4" t="n">
        <v>98.5</v>
      </c>
      <c r="E4" t="n">
        <v>100</v>
      </c>
      <c r="F4" t="inlineStr">
        <is>
          <t>N/A</t>
        </is>
      </c>
      <c r="G4" t="n">
        <v>100.2</v>
      </c>
      <c r="H4" t="inlineStr"/>
    </row>
    <row r="5">
      <c r="H5">
        <f>IF(AND(ROW()&gt;4,G5&lt;&gt;"",G4&lt;&gt;"",G5&gt;G4),"⚠ MB Increasing - Check cascade degradation","")</f>
        <v/>
      </c>
    </row>
    <row r="6">
      <c r="H6">
        <f>IF(AND(ROW()&gt;4,G6&lt;&gt;"",G5&lt;&gt;"",G6&gt;G5),"⚠ MB Increasing - Check cascade degradation","")</f>
        <v/>
      </c>
    </row>
    <row r="7">
      <c r="H7">
        <f>IF(AND(ROW()&gt;4,G7&lt;&gt;"",G6&lt;&gt;"",G7&gt;G6),"⚠ MB Increasing - Check cascade degradation","")</f>
        <v/>
      </c>
    </row>
    <row r="8">
      <c r="H8">
        <f>IF(AND(ROW()&gt;4,G8&lt;&gt;"",G7&lt;&gt;"",G8&gt;G7),"⚠ MB Increasing - Check cascade degradation","")</f>
        <v/>
      </c>
    </row>
    <row r="9">
      <c r="H9">
        <f>IF(AND(ROW()&gt;4,G9&lt;&gt;"",G8&lt;&gt;"",G9&gt;G8),"⚠ MB Increasing - Check cascade degradation","")</f>
        <v/>
      </c>
    </row>
    <row r="10">
      <c r="H10">
        <f>IF(AND(ROW()&gt;4,G10&lt;&gt;"",G9&lt;&gt;"",G10&gt;G9),"⚠ MB Increasing - Check cascade degradation","")</f>
        <v/>
      </c>
    </row>
    <row r="11">
      <c r="H11">
        <f>IF(AND(ROW()&gt;4,G11&lt;&gt;"",G10&lt;&gt;"",G11&gt;G10),"⚠ MB Increasing - Check cascade degradation","")</f>
        <v/>
      </c>
    </row>
    <row r="12">
      <c r="H12">
        <f>IF(AND(ROW()&gt;4,G12&lt;&gt;"",G11&lt;&gt;"",G12&gt;G11),"⚠ MB Increasing - Check cascade degradation","")</f>
        <v/>
      </c>
    </row>
    <row r="13">
      <c r="H13">
        <f>IF(AND(ROW()&gt;4,G13&lt;&gt;"",G12&lt;&gt;"",G13&gt;G12),"⚠ MB Increasing - Check cascade degradation","")</f>
        <v/>
      </c>
    </row>
    <row r="14">
      <c r="H14">
        <f>IF(AND(ROW()&gt;4,G14&lt;&gt;"",G13&lt;&gt;"",G14&gt;G13),"⚠ MB Increasing - Check cascade degradation","")</f>
        <v/>
      </c>
    </row>
    <row r="15">
      <c r="H15">
        <f>IF(AND(ROW()&gt;4,G15&lt;&gt;"",G14&lt;&gt;"",G15&gt;G14),"⚠ MB Increasing - Check cascade degradation","")</f>
        <v/>
      </c>
    </row>
    <row r="16">
      <c r="H16">
        <f>IF(AND(ROW()&gt;4,G16&lt;&gt;"",G15&lt;&gt;"",G16&gt;G15),"⚠ MB Increasing - Check cascade degradation","")</f>
        <v/>
      </c>
    </row>
    <row r="17">
      <c r="H17">
        <f>IF(AND(ROW()&gt;4,G17&lt;&gt;"",G16&lt;&gt;"",G17&gt;G16),"⚠ MB Increasing - Check cascade degradation","")</f>
        <v/>
      </c>
    </row>
    <row r="18">
      <c r="H18">
        <f>IF(AND(ROW()&gt;4,G18&lt;&gt;"",G17&lt;&gt;"",G18&gt;G17),"⚠ MB Increasing - Check cascade degradation","")</f>
        <v/>
      </c>
    </row>
    <row r="19">
      <c r="H19">
        <f>IF(AND(ROW()&gt;4,G19&lt;&gt;"",G18&lt;&gt;"",G19&gt;G18),"⚠ MB Increasing - Check cascade degradation","")</f>
        <v/>
      </c>
    </row>
    <row r="20">
      <c r="H20">
        <f>IF(AND(ROW()&gt;4,G20&lt;&gt;"",G19&lt;&gt;"",G20&gt;G19),"⚠ MB Increasing - Check cascade degradation","")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USER INSTRUCTIONS &amp; HELP</t>
        </is>
      </c>
    </row>
    <row r="4">
      <c r="A4" s="18" t="inlineStr">
        <is>
          <t>QUICK START GUIDE</t>
        </is>
      </c>
    </row>
    <row r="5">
      <c r="A5" s="19" t="inlineStr">
        <is>
          <t>Step 1:</t>
        </is>
      </c>
      <c r="B5" t="inlineStr">
        <is>
          <t>Go to "Data Entry" tab</t>
        </is>
      </c>
    </row>
    <row r="6">
      <c r="A6" s="19" t="inlineStr">
        <is>
          <t>Step 2:</t>
        </is>
      </c>
      <c r="B6" t="inlineStr">
        <is>
          <t>Enter your sample data in yellow cells</t>
        </is>
      </c>
    </row>
    <row r="7">
      <c r="A7" s="19" t="inlineStr">
        <is>
          <t>Step 3:</t>
        </is>
      </c>
      <c r="B7" t="inlineStr">
        <is>
          <t>Results appear automatically in "Calculations" tab</t>
        </is>
      </c>
    </row>
    <row r="8">
      <c r="A8" s="19" t="inlineStr">
        <is>
          <t>Step 4:</t>
        </is>
      </c>
      <c r="B8" t="inlineStr">
        <is>
          <t>Review diagnostic report in "Diagnostic Report" tab</t>
        </is>
      </c>
    </row>
    <row r="9">
      <c r="A9" s="19" t="inlineStr">
        <is>
          <t>Step 5:</t>
        </is>
      </c>
      <c r="B9" t="inlineStr">
        <is>
          <t>For tracking over time, use "Trend Tracking" tab</t>
        </is>
      </c>
    </row>
    <row r="11">
      <c r="A11" s="18" t="inlineStr">
        <is>
          <t>FIELD DEFINITIONS</t>
        </is>
      </c>
    </row>
    <row r="12">
      <c r="A12" s="19" t="inlineStr">
        <is>
          <t>Initial API %:</t>
        </is>
      </c>
      <c r="B12" t="inlineStr">
        <is>
          <t>Assay value of unstressed sample (typically 98-102%)</t>
        </is>
      </c>
    </row>
    <row r="13">
      <c r="A13" s="19" t="inlineStr">
        <is>
          <t>Stressed API %:</t>
        </is>
      </c>
      <c r="B13" t="inlineStr">
        <is>
          <t>Assay value after stress condition applied</t>
        </is>
      </c>
    </row>
    <row r="14">
      <c r="A14" s="19" t="inlineStr">
        <is>
          <t>Initial Degradants %:</t>
        </is>
      </c>
      <c r="B14" t="inlineStr">
        <is>
          <t>Sum of all degradant peaks in unstressed sample</t>
        </is>
      </c>
    </row>
    <row r="15">
      <c r="A15" s="19" t="inlineStr">
        <is>
          <t>Stressed Degradants %:</t>
        </is>
      </c>
      <c r="B15" t="inlineStr">
        <is>
          <t>Sum of all degradant peaks in stressed sample</t>
        </is>
      </c>
    </row>
    <row r="16">
      <c r="A16" s="19" t="inlineStr">
        <is>
          <t>Degradant MW:</t>
        </is>
      </c>
      <c r="B16" t="inlineStr">
        <is>
          <t>Molecular weight of degradation product (optional, improves accuracy)</t>
        </is>
      </c>
    </row>
    <row r="17">
      <c r="A17" s="19" t="inlineStr">
        <is>
          <t>Parent MW:</t>
        </is>
      </c>
      <c r="B17" t="inlineStr">
        <is>
          <t>Molecular weight of parent compound (optional)</t>
        </is>
      </c>
    </row>
    <row r="18">
      <c r="A18" s="19" t="inlineStr">
        <is>
          <t>RRF:</t>
        </is>
      </c>
      <c r="B18" t="inlineStr">
        <is>
          <t>Relative Response Factor from calibration curve (optional, default = 1.0)</t>
        </is>
      </c>
    </row>
    <row r="19">
      <c r="A19" s="19" t="inlineStr">
        <is>
          <t>Stress Type:</t>
        </is>
      </c>
      <c r="B19" t="inlineStr">
        <is>
          <t>Type of stress applied (Acid/Base/Oxidative/Photolytic/Thermal)</t>
        </is>
      </c>
    </row>
    <row r="21">
      <c r="A21" s="18" t="inlineStr">
        <is>
          <t>UNDERSTANDING RESULTS</t>
        </is>
      </c>
    </row>
    <row r="22">
      <c r="A22" s="19" t="inlineStr">
        <is>
          <t>Green (95-105%):</t>
        </is>
      </c>
      <c r="B22" t="inlineStr">
        <is>
          <t>Acceptable mass balance - no action required</t>
        </is>
      </c>
    </row>
    <row r="23">
      <c r="A23" s="19" t="inlineStr">
        <is>
          <t>Yellow (90-95%):</t>
        </is>
      </c>
      <c r="B23" t="inlineStr">
        <is>
          <t>Requires investigation per ICH Q1A(R2)</t>
        </is>
      </c>
    </row>
    <row r="24">
      <c r="A24" s="19" t="inlineStr">
        <is>
          <t>Red (&lt;90%):</t>
        </is>
      </c>
      <c r="B24" t="inlineStr">
        <is>
          <t>Out of specification - immediate action required</t>
        </is>
      </c>
    </row>
    <row r="26">
      <c r="A26" s="18" t="inlineStr">
        <is>
          <t>WHEN TO USE WHICH METHOD</t>
        </is>
      </c>
    </row>
    <row r="27">
      <c r="A27" s="19" t="inlineStr">
        <is>
          <t>AMB:</t>
        </is>
      </c>
      <c r="B27" t="inlineStr">
        <is>
          <t>Use when degradation &lt; 2% (low degradation)</t>
        </is>
      </c>
    </row>
    <row r="28">
      <c r="A28" s="19" t="inlineStr">
        <is>
          <t>RMB:</t>
        </is>
      </c>
      <c r="B28" t="inlineStr">
        <is>
          <t>Use when degradation is between 5-20% (moderate)</t>
        </is>
      </c>
    </row>
    <row r="29">
      <c r="A29" s="19" t="inlineStr">
        <is>
          <t>LK-IMB:</t>
        </is>
      </c>
      <c r="B29" t="inlineStr">
        <is>
          <t>Use when degradation &gt; 20% or fragmentation suspected</t>
        </is>
      </c>
    </row>
    <row r="31">
      <c r="A31" s="18" t="inlineStr">
        <is>
          <t>MASS BALANCE METHODS EXPLAINED</t>
        </is>
      </c>
    </row>
    <row r="32">
      <c r="A32" s="19" t="inlineStr">
        <is>
          <t>SMB:</t>
        </is>
      </c>
      <c r="B32" t="inlineStr">
        <is>
          <t>Simple sum - NOT RECOMMENDED (ignores initial purity)</t>
        </is>
      </c>
    </row>
    <row r="33">
      <c r="A33" s="19" t="inlineStr">
        <is>
          <t>AMB:</t>
        </is>
      </c>
      <c r="B33" t="inlineStr">
        <is>
          <t>Absolute method - good for low degradation levels</t>
        </is>
      </c>
    </row>
    <row r="34">
      <c r="A34" s="19" t="inlineStr">
        <is>
          <t>RMB:</t>
        </is>
      </c>
      <c r="B34" t="inlineStr">
        <is>
          <t>Relative method - accounts for initial impurities</t>
        </is>
      </c>
    </row>
    <row r="35">
      <c r="A35" s="19" t="inlineStr">
        <is>
          <t>LK-IMB:</t>
        </is>
      </c>
      <c r="B35" t="inlineStr">
        <is>
          <t>Lukulay-Körner corrected method - accounts for MW and RRF differences</t>
        </is>
      </c>
    </row>
    <row r="37">
      <c r="A37" s="18" t="inlineStr">
        <is>
          <t>TROUBLESHOOTING</t>
        </is>
      </c>
    </row>
    <row r="38">
      <c r="A38" s="19" t="inlineStr">
        <is>
          <t>Q:</t>
        </is>
      </c>
      <c r="B38" t="inlineStr">
        <is>
          <t>Why is RMB showing "N/A"?</t>
        </is>
      </c>
    </row>
    <row r="39">
      <c r="A39" s="19" t="inlineStr">
        <is>
          <t>A:</t>
        </is>
      </c>
      <c r="B39" t="inlineStr">
        <is>
          <t>Degradation is too low (&lt;0.1%) - use AMB instead</t>
        </is>
      </c>
    </row>
    <row r="41">
      <c r="A41" s="19" t="inlineStr">
        <is>
          <t>Q:</t>
        </is>
      </c>
      <c r="B41" t="inlineStr">
        <is>
          <t>My mass balance is &lt;90%, what should I do?</t>
        </is>
      </c>
    </row>
    <row r="42">
      <c r="A42" s="19" t="inlineStr">
        <is>
          <t>A:</t>
        </is>
      </c>
      <c r="B42" t="inlineStr">
        <is>
          <t>Check diagnostic message. Common causes: volatiles, UV-silent degradants, adsorption</t>
        </is>
      </c>
    </row>
    <row r="44">
      <c r="A44" s="18" t="inlineStr">
        <is>
          <t>REFERENCES</t>
        </is>
      </c>
    </row>
    <row r="45">
      <c r="A45" s="19" t="inlineStr">
        <is>
          <t>ICH Q1A(R2):</t>
        </is>
      </c>
      <c r="B45" t="inlineStr">
        <is>
          <t>Stability Testing of New Drug Substances and Products</t>
        </is>
      </c>
    </row>
    <row r="46">
      <c r="A46" s="19" t="inlineStr">
        <is>
          <t>Lukulay et al:</t>
        </is>
      </c>
      <c r="B46" t="inlineStr">
        <is>
          <t>Pharmaceutical Research (2006) - Stoichiometric corrections</t>
        </is>
      </c>
    </row>
    <row r="47">
      <c r="A47" s="19" t="inlineStr">
        <is>
          <t>Körner et al:</t>
        </is>
      </c>
      <c r="B47" t="inlineStr">
        <is>
          <t>J. Pharm. Biomed. Anal. (2018) - RRF corrections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2026-01-28T19:09:44Z</dcterms:created>
  <dcterms:modified xmlns:dcterms="http://purl.org/dc/terms/" xmlns:xsi="http://www.w3.org/2001/XMLSchema-instance" xsi:type="dcterms:W3CDTF">2026-01-28T19:09:44Z</dcterms:modified>
</cp:coreProperties>
</file>